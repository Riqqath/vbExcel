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amle\"/>
    </mc:Choice>
  </mc:AlternateContent>
  <xr:revisionPtr revIDLastSave="0" documentId="13_ncr:1_{B3B184F1-0970-4F92-A824-6CE7823120CB}" xr6:coauthVersionLast="47" xr6:coauthVersionMax="47" xr10:uidLastSave="{00000000-0000-0000-0000-000000000000}"/>
  <bookViews>
    <workbookView xWindow="4665" yWindow="3015" windowWidth="15375" windowHeight="7785" xr2:uid="{F74A23ED-602F-48B1-AFF1-CD639C5AB86F}"/>
  </bookViews>
  <sheets>
    <sheet name="MENU" sheetId="1" r:id="rId1"/>
    <sheet name="SURATMASUK" sheetId="2" r:id="rId2"/>
    <sheet name="SURATKELUAR" sheetId="3" r:id="rId3"/>
    <sheet name="CARIMASUK" sheetId="5" r:id="rId4"/>
    <sheet name="CARIKELUAR" sheetId="6" r:id="rId5"/>
  </sheets>
  <definedNames>
    <definedName name="_xlnm._FilterDatabase" localSheetId="2" hidden="1">SURATKELUAR!$A$5:$I$5</definedName>
    <definedName name="_xlnm._FilterDatabase" localSheetId="1" hidden="1">SURATMASUK!$A$5:$I$6</definedName>
    <definedName name="_xlnm.Criteria" localSheetId="4">CARIKELUAR!$K$5:$K$6</definedName>
    <definedName name="_xlnm.Criteria" localSheetId="3">CARIMASUK!$K$5:$K$6</definedName>
    <definedName name="_xlnm.Extract" localSheetId="4">CARIKELUAR!$A$5:$I$5</definedName>
    <definedName name="_xlnm.Extract" localSheetId="3">CARIMASUK!$A$5:$I$5</definedName>
    <definedName name="_xlnm.Print_Area" localSheetId="4">CARIKELUAR!$A:$I</definedName>
    <definedName name="_xlnm.Print_Area" localSheetId="3">CARIMASUK!$A:$I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" i="2" l="1"/>
  <c r="A7" i="2"/>
  <c r="A7" i="3"/>
  <c r="A6" i="3"/>
  <c r="A6" i="2"/>
  <c r="E13" i="1" l="1"/>
  <c r="E12" i="1"/>
  <c r="D10" i="1"/>
  <c r="D11" i="1"/>
  <c r="D14" i="1" l="1"/>
  <c r="F13" i="1"/>
  <c r="D13" i="1" s="1"/>
  <c r="F12" i="1"/>
  <c r="D12" i="1" s="1"/>
  <c r="E3" i="3"/>
  <c r="E3" i="2" l="1"/>
</calcChain>
</file>

<file path=xl/sharedStrings.xml><?xml version="1.0" encoding="utf-8"?>
<sst xmlns="http://schemas.openxmlformats.org/spreadsheetml/2006/main" count="113" uniqueCount="63">
  <si>
    <t>No</t>
  </si>
  <si>
    <t>Kode Input</t>
  </si>
  <si>
    <t>Tanggal Input</t>
  </si>
  <si>
    <t>Tanggal Surat</t>
  </si>
  <si>
    <t>Nomor Surat</t>
  </si>
  <si>
    <t>Pengirim</t>
  </si>
  <si>
    <t>Perihal</t>
  </si>
  <si>
    <t>Ditujukan</t>
  </si>
  <si>
    <t>File Surat</t>
  </si>
  <si>
    <t>Nama Kantor</t>
  </si>
  <si>
    <t>Alamat Kantor</t>
  </si>
  <si>
    <t>Nomor Telpon</t>
  </si>
  <si>
    <t>Email</t>
  </si>
  <si>
    <t>Folder</t>
  </si>
  <si>
    <t>:</t>
  </si>
  <si>
    <t>DATA KANTOR</t>
  </si>
  <si>
    <t>Bagian Personalia</t>
  </si>
  <si>
    <t>Total Surat Masuk</t>
  </si>
  <si>
    <t>Total Surat Keluar</t>
  </si>
  <si>
    <t>Total Surat</t>
  </si>
  <si>
    <t>Total Surat Masuk Tahun Ini</t>
  </si>
  <si>
    <t>SK-100003</t>
  </si>
  <si>
    <t>Peminjaman Gedung</t>
  </si>
  <si>
    <t>Dinas Pariwisata Kota Surabaya</t>
  </si>
  <si>
    <t>C:\DATASURAT\SK-100003.PDF</t>
  </si>
  <si>
    <t>KL-51478-JHY-2021</t>
  </si>
  <si>
    <t>BAGIAN PERSONALIA</t>
  </si>
  <si>
    <t xml:space="preserve">DATA SURAT KELUAR HASIL PENCARIAN </t>
  </si>
  <si>
    <t xml:space="preserve">DATA SURAT MASUK HASIL PENCARIAN </t>
  </si>
  <si>
    <t>KODIKLAT TNI SERPONG</t>
  </si>
  <si>
    <t>JL.BUARAN</t>
  </si>
  <si>
    <t>C:\Users\Admin\Documents\SURAT\</t>
  </si>
  <si>
    <t>SM-100019</t>
  </si>
  <si>
    <t>KKK</t>
  </si>
  <si>
    <t>MMM</t>
  </si>
  <si>
    <t>NNN</t>
  </si>
  <si>
    <t>OOO</t>
  </si>
  <si>
    <t>PPP</t>
  </si>
  <si>
    <t>C:\Users\Admin\Documents\SURAT\SM-100019.PDF</t>
  </si>
  <si>
    <t>SK-100029</t>
  </si>
  <si>
    <t>F-98-45</t>
  </si>
  <si>
    <t>GG</t>
  </si>
  <si>
    <t>FFDD</t>
  </si>
  <si>
    <t>BB</t>
  </si>
  <si>
    <t>C:\Users\Admin\Documents\SURAT\SK-100029.PDF</t>
  </si>
  <si>
    <t>INFOLAHTA</t>
  </si>
  <si>
    <t>SK-100033</t>
  </si>
  <si>
    <t>PTS-/LV-06</t>
  </si>
  <si>
    <t>ATH</t>
  </si>
  <si>
    <t>YTTA</t>
  </si>
  <si>
    <t>RIQQ</t>
  </si>
  <si>
    <t>C:\Users\Admin\Documents\SURAT\SK-100033.PDF</t>
  </si>
  <si>
    <t>SM-100029</t>
  </si>
  <si>
    <t>ATH/LV-22</t>
  </si>
  <si>
    <t>C:\Users\Admin\Documents\SURAT\SM-100029.PDF</t>
  </si>
  <si>
    <t>ATH-MW</t>
  </si>
  <si>
    <t>RIQQ-FF</t>
  </si>
  <si>
    <t>SM-100031</t>
  </si>
  <si>
    <t>Ditdok</t>
  </si>
  <si>
    <t>Permohonan Personel</t>
  </si>
  <si>
    <t>Infolahta</t>
  </si>
  <si>
    <t>C:\Users\Admin\Documents\SURAT\SM-100031.PDF</t>
  </si>
  <si>
    <t>B/ND/IV/2023/Ditdok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</si>
</sst>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b/>
      <sz val="11"/>
      <name val="Calibri"/>
      <family val="2"/>
      <scheme val="minor"/>
    </font>
    <font>
      <sz val="8"/>
      <name val="Calibri"/>
      <family val="2"/>
      <charset val="1"/>
      <scheme val="minor"/>
    </font>
    <font>
      <b/>
      <sz val="14"/>
      <color theme="8" tint="-0.249977111117893"/>
      <name val="Calibri"/>
      <family val="2"/>
      <scheme val="minor"/>
    </font>
    <font>
      <b/>
      <sz val="11"/>
      <color theme="1"/>
      <name val="Open Sans"/>
      <family val="2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double">
        <color rgb="FF007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/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1" fillId="2" borderId="0" xfId="0" applyNumberFormat="1" applyFont="1" applyFill="1" applyAlignment="1">
      <alignment horizontal="center" vertical="center"/>
    </xf>
    <xf numFmtId="0" fontId="5" fillId="0" borderId="0" xfId="0" applyFont="1"/>
    <xf numFmtId="14" fontId="0" fillId="0" borderId="3" xfId="0" applyNumberFormat="1" applyBorder="1"/>
    <xf numFmtId="0" fontId="0" fillId="0" borderId="3" xfId="0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1809750</xdr:colOff>
      <xdr:row>1</xdr:row>
      <xdr:rowOff>152400</xdr:rowOff>
    </xdr:from>
    <xdr:to>
      <xdr:col>4</xdr:col>
      <xdr:colOff>0</xdr:colOff>
      <xdr:row>2</xdr:row>
      <xdr:rowOff>209550</xdr:rowOff>
    </xdr:to>
    <xdr:sp macro="[0]!OpenForm" textlink="">
      <xdr:nvSpPr>
        <xdr:cNvPr id="4" name="Rectangle 3">
          <a:extLst>
            <a:ext uri="{FF2B5EF4-FFF2-40B4-BE49-F238E27FC236}">
              <a16:creationId xmlns:a16="http://schemas.microsoft.com/office/drawing/2014/main" id="{97C71AA1-C6E3-4F42-BF53-E4F7C8D5DCDA}"/>
            </a:ext>
          </a:extLst>
        </xdr:cNvPr>
        <xdr:cNvSpPr/>
      </xdr:nvSpPr>
      <xdr:spPr>
        <a:xfrm>
          <a:off x="3533775" y="342900"/>
          <a:ext cx="91440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Open Form</a:t>
          </a:r>
          <a:endParaRPr lang="id-ID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E8BD3-B80F-4D5C-AA7D-580AF539C9B9}">
  <sheetPr codeName="Sheet1"/>
  <dimension ref="B3:F14"/>
  <sheetViews>
    <sheetView showGridLines="0" tabSelected="1" workbookViewId="0">
      <selection activeCell="F14" sqref="F14"/>
    </sheetView>
  </sheetViews>
  <sheetFormatPr defaultRowHeight="15" x14ac:dyDescent="0.25"/>
  <cols>
    <col min="2" max="2" width="25.140625" bestFit="1" customWidth="1"/>
    <col min="3" max="3" width="2.85546875" style="2" customWidth="1"/>
    <col min="4" max="4" width="40.85546875" customWidth="1"/>
    <col min="5" max="5" width="10.7109375" bestFit="1" customWidth="1"/>
    <col min="7" max="7" width="20" customWidth="1"/>
    <col min="8" max="8" width="13" customWidth="1"/>
  </cols>
  <sheetData>
    <row r="3" spans="2:6" ht="19.5" thickBot="1" x14ac:dyDescent="0.3">
      <c r="B3" s="13" t="s">
        <v>15</v>
      </c>
      <c r="C3" s="13"/>
      <c r="D3" s="13"/>
    </row>
    <row r="4" spans="2:6" ht="15.75" thickTop="1" x14ac:dyDescent="0.25"/>
    <row r="5" spans="2:6" s="5" customFormat="1" ht="16.5" customHeight="1" x14ac:dyDescent="0.25">
      <c r="B5" s="6" t="s">
        <v>9</v>
      </c>
      <c r="C5" s="7" t="s">
        <v>14</v>
      </c>
      <c r="D5" s="6" t="s">
        <v>29</v>
      </c>
    </row>
    <row r="6" spans="2:6" s="5" customFormat="1" ht="16.5" customHeight="1" x14ac:dyDescent="0.25">
      <c r="B6" s="6" t="s">
        <v>10</v>
      </c>
      <c r="C6" s="7" t="s">
        <v>14</v>
      </c>
      <c r="D6" s="6" t="s">
        <v>30</v>
      </c>
    </row>
    <row r="7" spans="2:6" s="5" customFormat="1" ht="16.5" customHeight="1" x14ac:dyDescent="0.25">
      <c r="B7" s="6" t="s">
        <v>11</v>
      </c>
      <c r="C7" s="7" t="s">
        <v>14</v>
      </c>
      <c r="D7" s="6"/>
    </row>
    <row r="8" spans="2:6" s="5" customFormat="1" ht="16.5" customHeight="1" x14ac:dyDescent="0.25">
      <c r="B8" s="6" t="s">
        <v>12</v>
      </c>
      <c r="C8" s="7" t="s">
        <v>14</v>
      </c>
      <c r="D8" s="6" t="s">
        <v>45</v>
      </c>
    </row>
    <row r="9" spans="2:6" s="5" customFormat="1" ht="16.5" customHeight="1" x14ac:dyDescent="0.25">
      <c r="B9" s="6" t="s">
        <v>13</v>
      </c>
      <c r="C9" s="7" t="s">
        <v>14</v>
      </c>
      <c r="D9" s="6" t="s">
        <v>31</v>
      </c>
    </row>
    <row r="10" spans="2:6" ht="16.5" customHeight="1" x14ac:dyDescent="0.25">
      <c r="B10" s="6" t="s">
        <v>17</v>
      </c>
      <c r="C10" s="7" t="s">
        <v>14</v>
      </c>
      <c r="D10" s="6">
        <f>COUNTA(SURATMASUK!$B$6:$B$79994)</f>
        <v>3</v>
      </c>
    </row>
    <row r="11" spans="2:6" x14ac:dyDescent="0.25">
      <c r="B11" s="6" t="s">
        <v>18</v>
      </c>
      <c r="C11" s="7" t="s">
        <v>14</v>
      </c>
      <c r="D11" s="6">
        <f>COUNTA(SURATKELUAR!$B$6:$B$79994)</f>
        <v>2</v>
      </c>
    </row>
    <row r="12" spans="2:6" x14ac:dyDescent="0.25">
      <c r="B12" s="6" t="s">
        <v>20</v>
      </c>
      <c r="C12" s="7" t="s">
        <v>14</v>
      </c>
      <c r="D12" s="6">
        <f ca="1">SUMPRODUCT(1*(YEAR(SURATMASUK!$C$6:$C$69994)=F12))</f>
        <v>3</v>
      </c>
      <c r="E12" s="11">
        <f ca="1">TODAY()</f>
        <v>45050</v>
      </c>
      <c r="F12" s="12">
        <f ca="1">YEAR(E12)</f>
        <v>2023</v>
      </c>
    </row>
    <row r="13" spans="2:6" x14ac:dyDescent="0.25">
      <c r="B13" s="6" t="s">
        <v>20</v>
      </c>
      <c r="C13" s="7" t="s">
        <v>14</v>
      </c>
      <c r="D13" s="6">
        <f ca="1">SUMPRODUCT(1*(YEAR(SURATKELUAR!$C$6:$C$69994)=F13))</f>
        <v>2</v>
      </c>
      <c r="E13" s="11">
        <f ca="1">TODAY()</f>
        <v>45050</v>
      </c>
      <c r="F13" s="12">
        <f ca="1">YEAR(E13)</f>
        <v>2023</v>
      </c>
    </row>
    <row r="14" spans="2:6" x14ac:dyDescent="0.25">
      <c r="B14" s="6" t="s">
        <v>19</v>
      </c>
      <c r="C14" s="7" t="s">
        <v>14</v>
      </c>
      <c r="D14" s="6">
        <f>D10+D11</f>
        <v>5</v>
      </c>
    </row>
  </sheetData>
  <mergeCells count="1">
    <mergeCell ref="B3:D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C03A-5BA5-4E98-95CE-0F20ADED95EB}">
  <sheetPr codeName="Sheet2"/>
  <dimension ref="A3:I8"/>
  <sheetViews>
    <sheetView showGridLines="0" topLeftCell="G1" workbookViewId="0">
      <selection activeCell="B7" sqref="B7"/>
    </sheetView>
  </sheetViews>
  <sheetFormatPr defaultRowHeight="15" x14ac:dyDescent="0.25"/>
  <cols>
    <col min="1" max="1" width="4.7109375" style="2" customWidth="1"/>
    <col min="2" max="2" width="14.140625" customWidth="1"/>
    <col min="3" max="3" width="15.28515625" style="8" customWidth="1"/>
    <col min="4" max="4" width="15.85546875" style="2" customWidth="1"/>
    <col min="5" max="5" width="20.7109375" customWidth="1"/>
    <col min="6" max="6" width="16.85546875" customWidth="1"/>
    <col min="7" max="7" width="22.140625" customWidth="1"/>
    <col min="8" max="8" width="19.85546875" customWidth="1"/>
    <col min="9" max="9" width="30.28515625" customWidth="1"/>
    <col min="10" max="10" width="3.140625" customWidth="1"/>
  </cols>
  <sheetData>
    <row r="3" spans="1:9" x14ac:dyDescent="0.25">
      <c r="D3" s="3" t="s">
        <v>1</v>
      </c>
      <c r="E3" s="4">
        <f>LEN(F3)</f>
        <v>2</v>
      </c>
      <c r="F3" s="4">
        <v>32</v>
      </c>
    </row>
    <row r="5" spans="1:9" s="1" customFormat="1" x14ac:dyDescent="0.25">
      <c r="A5" s="3" t="s">
        <v>0</v>
      </c>
      <c r="B5" s="1" t="s">
        <v>1</v>
      </c>
      <c r="C5" s="9" t="s">
        <v>2</v>
      </c>
      <c r="D5" s="3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</row>
    <row r="6" spans="1:9" x14ac:dyDescent="0.25">
      <c r="A6" s="2">
        <f>ROW()-ROW($A$5)</f>
        <v>1</v>
      </c>
      <c r="B6" t="s">
        <v>32</v>
      </c>
      <c r="C6" s="8">
        <v>45049</v>
      </c>
      <c r="D6" s="2" t="s">
        <v>33</v>
      </c>
      <c r="E6" t="s">
        <v>34</v>
      </c>
      <c r="F6" t="s">
        <v>35</v>
      </c>
      <c r="G6" t="s">
        <v>36</v>
      </c>
      <c r="H6" t="s">
        <v>37</v>
      </c>
      <c r="I6" t="s">
        <v>38</v>
      </c>
    </row>
    <row r="7" spans="1:9" x14ac:dyDescent="0.25">
      <c r="A7" s="2">
        <f>ROW()-ROW($A$5)</f>
        <v>2</v>
      </c>
      <c r="B7" t="s">
        <v>52</v>
      </c>
      <c r="C7" s="8">
        <v>45050</v>
      </c>
      <c r="D7" s="8">
        <v>44738</v>
      </c>
      <c r="E7" t="s">
        <v>53</v>
      </c>
      <c r="F7" t="s">
        <v>56</v>
      </c>
      <c r="G7" t="s">
        <v>49</v>
      </c>
      <c r="H7" t="s">
        <v>48</v>
      </c>
      <c r="I7" t="s">
        <v>54</v>
      </c>
    </row>
    <row r="8" spans="1:9" x14ac:dyDescent="0.25">
      <c r="A8" s="2">
        <f>ROW()-ROW($A$5)</f>
        <v>3</v>
      </c>
      <c r="B8" t="s">
        <v>57</v>
      </c>
      <c r="C8" s="8">
        <v>45050</v>
      </c>
      <c r="D8" s="8">
        <v>45044</v>
      </c>
      <c r="E8" t="s">
        <v>62</v>
      </c>
      <c r="F8" t="s">
        <v>58</v>
      </c>
      <c r="G8" t="s">
        <v>59</v>
      </c>
      <c r="H8" t="s">
        <v>60</v>
      </c>
      <c r="I8" t="s">
        <v>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6182E-BB4F-43E4-A552-0508A37825BA}">
  <sheetPr codeName="Sheet3"/>
  <dimension ref="A3:I7"/>
  <sheetViews>
    <sheetView showGridLines="0" workbookViewId="0">
      <selection activeCell="B7" sqref="B7"/>
    </sheetView>
  </sheetViews>
  <sheetFormatPr defaultRowHeight="15" x14ac:dyDescent="0.25"/>
  <cols>
    <col min="1" max="1" width="4.7109375" style="2" customWidth="1"/>
    <col min="2" max="2" width="14.140625" customWidth="1"/>
    <col min="3" max="3" width="17.85546875" style="2" bestFit="1" customWidth="1"/>
    <col min="4" max="4" width="15.85546875" style="2" customWidth="1"/>
    <col min="5" max="5" width="20.7109375" customWidth="1"/>
    <col min="6" max="6" width="16.85546875" customWidth="1"/>
    <col min="7" max="7" width="22.140625" customWidth="1"/>
    <col min="8" max="8" width="19.85546875" customWidth="1"/>
    <col min="9" max="9" width="41.140625" customWidth="1"/>
  </cols>
  <sheetData>
    <row r="3" spans="1:9" x14ac:dyDescent="0.25">
      <c r="D3" s="3" t="s">
        <v>1</v>
      </c>
      <c r="E3" s="4">
        <f>LEN(F3)</f>
        <v>2</v>
      </c>
      <c r="F3" s="4">
        <v>35</v>
      </c>
    </row>
    <row r="5" spans="1:9" s="1" customFormat="1" x14ac:dyDescent="0.25">
      <c r="A5" s="3" t="s">
        <v>0</v>
      </c>
      <c r="B5" s="1" t="s">
        <v>1</v>
      </c>
      <c r="C5" s="3" t="s">
        <v>2</v>
      </c>
      <c r="D5" s="3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</row>
    <row r="6" spans="1:9" x14ac:dyDescent="0.25">
      <c r="A6" s="2">
        <f>ROW()-ROW($A$5)</f>
        <v>1</v>
      </c>
      <c r="B6" t="s">
        <v>39</v>
      </c>
      <c r="C6" s="8">
        <v>45050</v>
      </c>
      <c r="D6" s="8">
        <v>44463</v>
      </c>
      <c r="E6" t="s">
        <v>40</v>
      </c>
      <c r="F6" t="s">
        <v>41</v>
      </c>
      <c r="G6" t="s">
        <v>42</v>
      </c>
      <c r="H6" t="s">
        <v>43</v>
      </c>
      <c r="I6" t="s">
        <v>44</v>
      </c>
    </row>
    <row r="7" spans="1:9" x14ac:dyDescent="0.25">
      <c r="A7" s="2">
        <f>ROW()-ROW($A$5)</f>
        <v>2</v>
      </c>
      <c r="B7" t="s">
        <v>46</v>
      </c>
      <c r="C7" s="8">
        <v>45050</v>
      </c>
      <c r="D7" s="8">
        <v>44920</v>
      </c>
      <c r="E7" t="s">
        <v>47</v>
      </c>
      <c r="F7" t="s">
        <v>55</v>
      </c>
      <c r="G7" t="s">
        <v>49</v>
      </c>
      <c r="H7" t="s">
        <v>50</v>
      </c>
      <c r="I7" t="s">
        <v>51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C723E-6FBC-49FA-A1FD-AC6338C75DFF}">
  <sheetPr codeName="Sheet5"/>
  <dimension ref="A3:K6"/>
  <sheetViews>
    <sheetView showGridLines="0" workbookViewId="0">
      <selection activeCell="D10" sqref="D10"/>
    </sheetView>
  </sheetViews>
  <sheetFormatPr defaultRowHeight="15" x14ac:dyDescent="0.25"/>
  <cols>
    <col min="1" max="1" width="5.5703125" customWidth="1"/>
    <col min="2" max="2" width="13" customWidth="1"/>
    <col min="3" max="3" width="12.85546875" bestFit="1" customWidth="1"/>
    <col min="4" max="4" width="12.7109375" bestFit="1" customWidth="1"/>
    <col min="5" max="5" width="14.28515625" customWidth="1"/>
    <col min="6" max="6" width="15.7109375" customWidth="1"/>
    <col min="7" max="7" width="16.140625" customWidth="1"/>
    <col min="8" max="8" width="15.85546875" customWidth="1"/>
    <col min="9" max="9" width="25.42578125" customWidth="1"/>
    <col min="10" max="10" width="4.7109375" customWidth="1"/>
    <col min="11" max="11" width="14.42578125" customWidth="1"/>
  </cols>
  <sheetData>
    <row r="3" spans="1:11" x14ac:dyDescent="0.25">
      <c r="A3" s="10" t="s">
        <v>28</v>
      </c>
    </row>
    <row r="5" spans="1:11" s="1" customFormat="1" x14ac:dyDescent="0.25">
      <c r="A5" s="3" t="s">
        <v>0</v>
      </c>
      <c r="B5" s="1" t="s">
        <v>1</v>
      </c>
      <c r="C5" s="9" t="s">
        <v>2</v>
      </c>
      <c r="D5" s="3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  <c r="K5" s="1" t="s">
        <v>3</v>
      </c>
    </row>
    <row r="6" spans="1:11" x14ac:dyDescent="0.25">
      <c r="A6" s="2">
        <v>1</v>
      </c>
      <c r="B6" t="s">
        <v>32</v>
      </c>
      <c r="C6" s="8">
        <v>45049</v>
      </c>
      <c r="D6" s="2" t="s">
        <v>33</v>
      </c>
      <c r="E6" t="s">
        <v>34</v>
      </c>
      <c r="F6" t="s">
        <v>35</v>
      </c>
      <c r="G6" t="s">
        <v>36</v>
      </c>
      <c r="H6" t="s">
        <v>37</v>
      </c>
      <c r="I6" t="s">
        <v>38</v>
      </c>
      <c r="K6" t="s">
        <v>33</v>
      </c>
    </row>
  </sheetData>
  <pageMargins left="0.35" right="0.31" top="0.46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1084C-B817-448E-AC6B-E3B15FC52624}">
  <sheetPr codeName="Sheet6"/>
  <dimension ref="A3:K7"/>
  <sheetViews>
    <sheetView showGridLines="0" workbookViewId="0">
      <selection activeCell="A4" sqref="A4"/>
    </sheetView>
  </sheetViews>
  <sheetFormatPr defaultRowHeight="15" x14ac:dyDescent="0.25"/>
  <cols>
    <col min="1" max="1" width="5" customWidth="1"/>
    <col min="2" max="2" width="14" customWidth="1"/>
    <col min="3" max="3" width="11.85546875" customWidth="1"/>
    <col min="4" max="4" width="14" customWidth="1"/>
    <col min="5" max="5" width="16.28515625" customWidth="1"/>
    <col min="6" max="6" width="13.42578125" customWidth="1"/>
    <col min="7" max="7" width="13" customWidth="1"/>
    <col min="8" max="8" width="16.7109375" customWidth="1"/>
    <col min="9" max="9" width="29" bestFit="1" customWidth="1"/>
  </cols>
  <sheetData>
    <row r="3" spans="1:11" x14ac:dyDescent="0.25">
      <c r="A3" s="10" t="s">
        <v>27</v>
      </c>
    </row>
    <row r="5" spans="1:11" s="1" customFormat="1" x14ac:dyDescent="0.25">
      <c r="A5" s="3" t="s">
        <v>0</v>
      </c>
      <c r="B5" s="1" t="s">
        <v>1</v>
      </c>
      <c r="C5" s="3" t="s">
        <v>2</v>
      </c>
      <c r="D5" s="3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  <c r="K5" s="1" t="s">
        <v>5</v>
      </c>
    </row>
    <row r="6" spans="1:11" x14ac:dyDescent="0.25">
      <c r="A6" s="2">
        <v>1</v>
      </c>
      <c r="B6" t="s">
        <v>21</v>
      </c>
      <c r="C6" s="8">
        <v>44323</v>
      </c>
      <c r="D6" s="8">
        <v>44318</v>
      </c>
      <c r="E6" t="s">
        <v>25</v>
      </c>
      <c r="F6" t="s">
        <v>16</v>
      </c>
      <c r="G6" t="s">
        <v>22</v>
      </c>
      <c r="H6" t="s">
        <v>23</v>
      </c>
      <c r="I6" t="s">
        <v>24</v>
      </c>
      <c r="K6" t="s">
        <v>26</v>
      </c>
    </row>
    <row r="7" spans="1:11" x14ac:dyDescent="0.25">
      <c r="A7" s="2"/>
      <c r="C7" s="8"/>
      <c r="D7" s="8"/>
    </row>
  </sheetData>
  <pageMargins left="0.27" right="0.24" top="0.43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MENU</vt:lpstr>
      <vt:lpstr>SURATMASUK</vt:lpstr>
      <vt:lpstr>SURATKELUAR</vt:lpstr>
      <vt:lpstr>CARIMASUK</vt:lpstr>
      <vt:lpstr>CARIKELUAR</vt:lpstr>
      <vt:lpstr>CARIKELUAR!Criteria</vt:lpstr>
      <vt:lpstr>CARIMASUK!Criteria</vt:lpstr>
      <vt:lpstr>CARIKELUAR!Extract</vt:lpstr>
      <vt:lpstr>CARIMASUK!Extract</vt:lpstr>
      <vt:lpstr>CARIKELUAR!Print_Area</vt:lpstr>
      <vt:lpstr>CARIMASUK!Print_Area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RIQQ</cp:lastModifiedBy>
  <cp:lastPrinted>2023-05-03T19:58:35Z</cp:lastPrinted>
  <dcterms:created xsi:type="dcterms:W3CDTF">2021-04-12T14:08:52Z</dcterms:created>
  <dcterms:modified xsi:type="dcterms:W3CDTF">2023-05-04T04:35:50Z</dcterms:modified>
</cp:coreProperties>
</file>